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3N991ojGGV4hfYsqiHLUo2a9ejRs4MHZt8WrjAHs6U="/>
    </ext>
  </extLst>
</workbook>
</file>

<file path=xl/sharedStrings.xml><?xml version="1.0" encoding="utf-8"?>
<sst xmlns="http://schemas.openxmlformats.org/spreadsheetml/2006/main" count="19" uniqueCount="19">
  <si>
    <t>CALCULO DE HIDRATACIÓN</t>
  </si>
  <si>
    <t>Gr. Harina</t>
  </si>
  <si>
    <t>% Hidratación</t>
  </si>
  <si>
    <t>Hs. Fermentación</t>
  </si>
  <si>
    <t>Temp. De Fermentación</t>
  </si>
  <si>
    <t>Gr. de Levadura Fresca</t>
  </si>
  <si>
    <t>Gr. de Levadura Seca</t>
  </si>
  <si>
    <t>Gr. de Sal</t>
  </si>
  <si>
    <t>Gr. de Agua</t>
  </si>
  <si>
    <t>PARA HACER BIGA</t>
  </si>
  <si>
    <t>Harina</t>
  </si>
  <si>
    <t>Agua</t>
  </si>
  <si>
    <t>Levadura Fresca</t>
  </si>
  <si>
    <t>Levadura Seca</t>
  </si>
  <si>
    <t>Despues de las 24 horas</t>
  </si>
  <si>
    <t>Resto Harina</t>
  </si>
  <si>
    <t>Resto Agua</t>
  </si>
  <si>
    <t>Sal</t>
  </si>
  <si>
    <t xml:space="preserve">Aceite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</si>
</sst>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1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3" numFmtId="0" xfId="0" applyBorder="1" applyFont="1"/>
    <xf borderId="0" fillId="2" fontId="2" numFmtId="0" xfId="0" applyAlignment="1" applyFill="1" applyFont="1">
      <alignment horizontal="center" vertical="center"/>
    </xf>
    <xf borderId="3" fillId="3" fontId="4" numFmtId="0" xfId="0" applyAlignment="1" applyBorder="1" applyFill="1" applyFont="1">
      <alignment horizontal="center" vertical="center"/>
    </xf>
    <xf borderId="0" fillId="2" fontId="4" numFmtId="0" xfId="0" applyAlignment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 vertical="center"/>
    </xf>
    <xf borderId="0" fillId="2" fontId="4" numFmtId="0" xfId="0" applyFont="1"/>
    <xf borderId="5" fillId="2" fontId="2" numFmtId="0" xfId="0" applyAlignment="1" applyBorder="1" applyFont="1">
      <alignment horizontal="center"/>
    </xf>
    <xf borderId="6" fillId="0" fontId="3" numFmtId="0" xfId="0" applyBorder="1" applyFont="1"/>
    <xf borderId="0" fillId="0" fontId="5" numFmtId="0" xfId="0" applyAlignment="1" applyFont="1">
      <alignment readingOrder="0"/>
    </xf>
    <xf borderId="7" fillId="0" fontId="4" numFmtId="0" xfId="0" applyBorder="1" applyFont="1"/>
    <xf borderId="7" fillId="4" fontId="2" numFmtId="2" xfId="0" applyAlignment="1" applyBorder="1" applyFill="1" applyFont="1" applyNumberFormat="1">
      <alignment horizontal="center"/>
    </xf>
    <xf borderId="0" fillId="2" fontId="5" numFmtId="0" xfId="0" applyFont="1"/>
    <xf borderId="5" fillId="2" fontId="6" numFmtId="0" xfId="0" applyAlignment="1" applyBorder="1" applyFont="1">
      <alignment horizontal="center"/>
    </xf>
    <xf borderId="8" fillId="0" fontId="3" numFmtId="0" xfId="0" applyBorder="1" applyFont="1"/>
    <xf borderId="7" fillId="4" fontId="7" numFmtId="0" xfId="0" applyAlignment="1" applyBorder="1" applyFont="1">
      <alignment horizontal="center"/>
    </xf>
    <xf borderId="9" fillId="2" fontId="6" numFmtId="0" xfId="0" applyBorder="1" applyFont="1"/>
    <xf borderId="5" fillId="2" fontId="7" numFmtId="0" xfId="0" applyBorder="1" applyFont="1"/>
    <xf borderId="10" fillId="3" fontId="6" numFmtId="0" xfId="0" applyAlignment="1" applyBorder="1" applyFont="1">
      <alignment horizontal="center"/>
    </xf>
    <xf borderId="11" fillId="0" fontId="3" numFmtId="0" xfId="0" applyBorder="1" applyFont="1"/>
    <xf borderId="7" fillId="0" fontId="6" numFmtId="0" xfId="0" applyBorder="1" applyFont="1"/>
    <xf borderId="12" fillId="0" fontId="2" numFmtId="0" xfId="0" applyAlignment="1" applyBorder="1" applyFont="1">
      <alignment horizontal="center" readingOrder="0" vertical="center"/>
    </xf>
    <xf borderId="13" fillId="0" fontId="3" numFmtId="0" xfId="0" applyBorder="1" applyFont="1"/>
    <xf borderId="7" fillId="0" fontId="8" numFmtId="0" xfId="0" applyAlignment="1" applyBorder="1" applyFont="1">
      <alignment readingOrder="0"/>
    </xf>
    <xf borderId="7" fillId="4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71"/>
    <col customWidth="1" min="3" max="3" width="21.86"/>
    <col customWidth="1" min="4" max="4" width="10.71"/>
    <col customWidth="1" min="5" max="5" width="17.0"/>
    <col customWidth="1" min="6" max="6" width="5.86"/>
    <col customWidth="1" min="7" max="7" width="13.29"/>
    <col customWidth="1" min="8" max="25" width="10.71"/>
  </cols>
  <sheetData>
    <row r="1">
      <c r="A1" s="1"/>
      <c r="B1" s="1"/>
      <c r="C1" s="1"/>
      <c r="D1" s="2"/>
      <c r="E1" s="1"/>
      <c r="F1" s="1"/>
      <c r="G1" s="1"/>
    </row>
    <row r="2">
      <c r="A2" s="1"/>
      <c r="B2" s="3" t="s">
        <v>0</v>
      </c>
      <c r="C2" s="4"/>
      <c r="D2" s="2"/>
    </row>
    <row r="3">
      <c r="A3" s="2"/>
      <c r="B3" s="2"/>
      <c r="C3" s="2"/>
      <c r="D3" s="2"/>
      <c r="E3" s="5"/>
      <c r="F3" s="5"/>
      <c r="G3" s="5"/>
    </row>
    <row r="4">
      <c r="A4" s="2"/>
      <c r="B4" s="6" t="s">
        <v>1</v>
      </c>
      <c r="C4" s="6" t="s">
        <v>2</v>
      </c>
      <c r="D4" s="2"/>
      <c r="E4" s="7"/>
      <c r="F4" s="7"/>
    </row>
    <row r="5">
      <c r="A5" s="2"/>
      <c r="B5" s="8">
        <v>1500.0</v>
      </c>
      <c r="C5" s="8">
        <v>60.0</v>
      </c>
      <c r="D5" s="2"/>
      <c r="E5" s="5"/>
      <c r="F5" s="5"/>
    </row>
    <row r="6">
      <c r="B6" s="6" t="s">
        <v>3</v>
      </c>
      <c r="C6" s="9" t="s">
        <v>4</v>
      </c>
      <c r="E6" s="10"/>
      <c r="F6" s="11"/>
      <c r="G6" s="12"/>
    </row>
    <row r="7">
      <c r="B7" s="8">
        <v>4.0</v>
      </c>
      <c r="C7" s="8">
        <v>20.0</v>
      </c>
      <c r="E7" s="10"/>
      <c r="F7" s="11"/>
      <c r="G7" s="12"/>
      <c r="L7" s="13">
        <v>650.0</v>
      </c>
    </row>
    <row r="8">
      <c r="B8" s="14" t="s">
        <v>5</v>
      </c>
      <c r="C8" s="15">
        <f>((((B5*23)/C5)/B7)/C7)</f>
        <v>7.1875</v>
      </c>
      <c r="E8" s="16"/>
      <c r="F8" s="16"/>
      <c r="G8" s="16"/>
      <c r="L8" s="13">
        <v>650.0</v>
      </c>
    </row>
    <row r="9">
      <c r="B9" s="14" t="s">
        <v>6</v>
      </c>
      <c r="C9" s="15">
        <f>C8*0.33</f>
        <v>2.371875</v>
      </c>
      <c r="E9" s="17"/>
      <c r="F9" s="18"/>
      <c r="G9" s="12"/>
    </row>
    <row r="10">
      <c r="B10" s="14" t="s">
        <v>7</v>
      </c>
      <c r="C10" s="19">
        <f>((B5*25)/1000)</f>
        <v>37.5</v>
      </c>
      <c r="E10" s="20"/>
      <c r="F10" s="21"/>
      <c r="G10" s="12"/>
    </row>
    <row r="11">
      <c r="B11" s="14" t="s">
        <v>8</v>
      </c>
      <c r="C11" s="19">
        <f>((C5*B5)/100)</f>
        <v>900</v>
      </c>
      <c r="E11" s="20"/>
      <c r="F11" s="21"/>
      <c r="G11" s="12"/>
    </row>
    <row r="12">
      <c r="E12" s="20"/>
      <c r="F12" s="21"/>
      <c r="G12" s="12"/>
    </row>
    <row r="13">
      <c r="E13" s="20"/>
      <c r="F13" s="21"/>
      <c r="G13" s="12"/>
    </row>
    <row r="14">
      <c r="E14" s="16"/>
      <c r="F14" s="16"/>
      <c r="G14" s="16"/>
    </row>
    <row r="15">
      <c r="B15" s="22" t="s">
        <v>9</v>
      </c>
      <c r="C15" s="23"/>
    </row>
    <row r="16">
      <c r="B16" s="24" t="s">
        <v>10</v>
      </c>
      <c r="C16" s="19">
        <f>(B5*0.75)</f>
        <v>1125</v>
      </c>
    </row>
    <row r="17">
      <c r="B17" s="24" t="s">
        <v>11</v>
      </c>
      <c r="C17" s="19">
        <f>(C16*0.5)</f>
        <v>562.5</v>
      </c>
    </row>
    <row r="18">
      <c r="B18" s="24" t="s">
        <v>12</v>
      </c>
      <c r="C18" s="19">
        <f t="shared" ref="C18:C19" si="1">(C8/2)</f>
        <v>3.59375</v>
      </c>
    </row>
    <row r="19">
      <c r="B19" s="24" t="s">
        <v>13</v>
      </c>
      <c r="C19" s="19">
        <f t="shared" si="1"/>
        <v>1.1859375</v>
      </c>
    </row>
    <row r="20">
      <c r="A20" s="2"/>
      <c r="B20" s="25" t="s">
        <v>14</v>
      </c>
      <c r="C20" s="26"/>
      <c r="D20" s="2"/>
      <c r="E20" s="2"/>
      <c r="F20" s="2"/>
    </row>
    <row r="21" ht="15.75" customHeight="1">
      <c r="B21" s="27" t="s">
        <v>15</v>
      </c>
      <c r="C21" s="28">
        <f>(B5-C16)</f>
        <v>375</v>
      </c>
    </row>
    <row r="22" ht="15.75" customHeight="1">
      <c r="B22" s="27" t="s">
        <v>16</v>
      </c>
      <c r="C22" s="28">
        <f>(C11-C17)</f>
        <v>337.5</v>
      </c>
    </row>
    <row r="23" ht="15.75" customHeight="1">
      <c r="B23" s="27" t="s">
        <v>17</v>
      </c>
      <c r="C23" s="28">
        <f>(C10)</f>
        <v>37.5</v>
      </c>
    </row>
    <row r="24" ht="15.75" customHeight="1">
      <c r="B24" s="27" t="s">
        <v>18</v>
      </c>
      <c r="C24" s="28">
        <f>(B5*0.02)</f>
        <v>30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11:G11"/>
    <mergeCell ref="F12:G12"/>
    <mergeCell ref="F13:G13"/>
    <mergeCell ref="B15:C15"/>
    <mergeCell ref="B20:C20"/>
    <mergeCell ref="B2:C2"/>
    <mergeCell ref="F4:G4"/>
    <mergeCell ref="F5:G5"/>
    <mergeCell ref="F6:G6"/>
    <mergeCell ref="F7:G7"/>
    <mergeCell ref="E9:G9"/>
    <mergeCell ref="F10:G1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2022-08-05T13:28:41Z</dcterms:created>
  <dc:creator>Orue Ezequiel Mariano</dc:creator>
</cp:coreProperties>
</file>